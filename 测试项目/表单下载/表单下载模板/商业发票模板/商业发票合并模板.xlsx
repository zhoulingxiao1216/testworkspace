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9EA01FCAC614986B2183289088E2267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47220" y="3416300"/>
          <a:ext cx="762000" cy="762000"/>
        </a:xfrm>
        <a:prstGeom prst="rect">
          <a:avLst/>
        </a:prstGeom>
      </xdr:spPr>
    </xdr:pic>
  </etc:cellImage>
  <etc:cellImage>
    <xdr:pic>
      <xdr:nvPicPr>
        <xdr:cNvPr id="2" name="ID_7CE795C54BB147329AB624CDC5471DCB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47220" y="2654300"/>
          <a:ext cx="762000" cy="762000"/>
        </a:xfrm>
        <a:prstGeom prst="rect">
          <a:avLst/>
        </a:prstGeom>
      </xdr:spPr>
    </xdr:pic>
  </etc:cellImage>
  <etc:cellImage>
    <xdr:pic>
      <xdr:nvPicPr>
        <xdr:cNvPr id="4" name="ID_FD70FC67CF84467D89A64328BA2682E0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47220" y="4178300"/>
          <a:ext cx="762000" cy="762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<sst xmlns="http://schemas.openxmlformats.org/spreadsheetml/2006/main" count="37" uniqueCount="37">
  <si>
    <t>INVOICE</t>
  </si>
  <si>
    <t>Company/公司</t>
  </si>
  <si>
    <t xml:space="preserve">   株式会社Cieze</t>
  </si>
  <si>
    <t>Address/地址</t>
  </si>
  <si>
    <t xml:space="preserve">   Tokyo-to,Patio Harajuku 103,3-15-22,JINGUMAE,SIBUYA-KU,パティオ原宿 103</t>
  </si>
  <si>
    <t>Name/收件人</t>
  </si>
  <si>
    <t xml:space="preserve">   株式会社CiezeカブシキカイシャシーズCieze Co., Ltd.</t>
  </si>
  <si>
    <t>Zip code/邮编</t>
  </si>
  <si>
    <t xml:space="preserve">   150-0001</t>
  </si>
  <si>
    <t>Telphone/电话</t>
  </si>
  <si>
    <t xml:space="preserve">   0368648887 /</t>
  </si>
  <si>
    <t>Full Description of Goods</t>
  </si>
  <si>
    <t>URL</t>
  </si>
  <si>
    <t>ID</t>
  </si>
  <si>
    <t>Unit Value</t>
  </si>
  <si>
    <t>Quanutity</t>
  </si>
  <si>
    <t>subTotal</t>
  </si>
  <si>
    <t>picture</t>
  </si>
  <si>
    <t>详细商品名</t>
  </si>
  <si>
    <t>产品链接</t>
  </si>
  <si>
    <t>产品ID</t>
  </si>
  <si>
    <t>单价(CNY)</t>
  </si>
  <si>
    <t>数量</t>
  </si>
  <si>
    <t>小计(CNY)</t>
  </si>
  <si>
    <t>图片</t>
  </si>
  <si>
    <t>SKU</t>
  </si>
  <si>
    <t>2025夏季~尖头皮带扣细跟皮带扣单鞋女欧美包头银色后空高跟凉鞋</t>
  </si>
  <si>
    <t>https://detail.1688.com/offer/711770438230.html</t>
  </si>
  <si>
    <t>SATK-201681</t>
  </si>
  <si>
    <t>2025新款法式荷叶边波点衬衫女秋季设计感绑带宽松别致上衣优雅</t>
  </si>
  <si>
    <t>https://detail.1688.com/offer/907462866137.html</t>
  </si>
  <si>
    <t>MM-753</t>
  </si>
  <si>
    <t>秋季法式辣妹性感v领蕾丝修身显瘦长袖T恤纯欲风时尚小众ins上衣</t>
  </si>
  <si>
    <t>https://detail.1688.com/offer/841623150679.html</t>
  </si>
  <si>
    <t>MM-737</t>
  </si>
  <si>
    <t>Total Packages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</si>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</sst>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22.5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tabSelected="1" workbookViewId="0">
      <selection activeCell="E18" sqref="E18"/>
    </sheetView>
  </sheetViews>
  <sheetFormatPr defaultColWidth="9" defaultRowHeight="16.5"/>
  <cols>
    <col min="1" max="3" width="12.8" style="1" customWidth="1"/>
    <col min="4" max="4" width="30" style="1" customWidth="1"/>
    <col min="5" max="5" width="50" style="1" customWidth="1"/>
    <col min="6" max="7" width="12.2545454545455" style="1" customWidth="1"/>
    <col min="8" max="8" width="15.3818181818182" style="1" customWidth="1"/>
    <col min="9" max="9" width="14.1818181818182" style="1" customWidth="1"/>
    <col min="10" max="10" width="23.0909090909091" style="1" customWidth="1"/>
    <col min="11" max="11" width="18.9090909090909" style="1" customWidth="1"/>
    <col min="12" max="16384" width="9" style="1"/>
  </cols>
  <sheetData>
    <row r="1" ht="35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3.5" customHeight="1" spans="1:11">
      <c r="A2" s="4"/>
      <c r="B2" s="4"/>
      <c r="C2" s="4"/>
      <c r="D2" s="4"/>
      <c r="E2" s="4"/>
      <c r="F2" s="4"/>
      <c r="G2" s="4"/>
      <c r="H2" s="4"/>
      <c r="I2" s="4"/>
      <c r="J2" s="4"/>
    </row>
    <row r="3" ht="20" customHeight="1" spans="1:11">
      <c r="A3" s="3" t="s">
        <v>1</v>
      </c>
      <c r="B3" s="5"/>
      <c r="C3" s="6" t="s">
        <v>2</v>
      </c>
      <c r="D3" s="7"/>
      <c r="E3" s="7"/>
      <c r="F3" s="7"/>
      <c r="G3" s="7"/>
      <c r="H3" s="7"/>
      <c r="I3" s="7"/>
      <c r="J3" s="7"/>
    </row>
    <row r="4" ht="20" customHeight="1" spans="1:11">
      <c r="A4" s="3" t="s">
        <v>3</v>
      </c>
      <c r="B4" s="5"/>
      <c r="C4" s="6" t="s">
        <v>4</v>
      </c>
      <c r="D4" s="7"/>
      <c r="E4" s="7"/>
      <c r="F4" s="7"/>
      <c r="G4" s="7"/>
      <c r="H4" s="7"/>
      <c r="I4" s="7"/>
      <c r="J4" s="7"/>
    </row>
    <row r="5" ht="20" customHeight="1" spans="1:11">
      <c r="A5" s="3" t="s">
        <v>5</v>
      </c>
      <c r="B5" s="5"/>
      <c r="C5" s="6" t="s">
        <v>6</v>
      </c>
      <c r="D5" s="7"/>
      <c r="E5" s="7"/>
      <c r="F5" s="7"/>
      <c r="G5" s="7"/>
      <c r="H5" s="7"/>
      <c r="I5" s="7"/>
      <c r="J5" s="7"/>
    </row>
    <row r="6" ht="20" customHeight="1" spans="1:11">
      <c r="A6" s="3" t="s">
        <v>7</v>
      </c>
      <c r="B6" s="5"/>
      <c r="C6" s="6" t="s">
        <v>8</v>
      </c>
      <c r="D6" s="7"/>
      <c r="E6" s="7"/>
      <c r="F6" s="7"/>
      <c r="G6" s="7"/>
      <c r="H6" s="7"/>
      <c r="I6" s="7"/>
      <c r="J6" s="7"/>
    </row>
    <row r="7" ht="20" customHeight="1" spans="1:11">
      <c r="A7" s="3" t="s">
        <v>9</v>
      </c>
      <c r="B7" s="5"/>
      <c r="C7" s="6" t="s">
        <v>10</v>
      </c>
      <c r="D7" s="7"/>
      <c r="E7" s="7"/>
      <c r="F7" s="7"/>
      <c r="G7" s="7"/>
      <c r="H7" s="7"/>
      <c r="I7" s="7"/>
      <c r="J7" s="7"/>
    </row>
    <row r="8" ht="13.5" customHeight="1" spans="1:11">
      <c r="A8" s="4"/>
      <c r="B8" s="4"/>
      <c r="C8" s="4"/>
      <c r="D8" s="4"/>
      <c r="E8" s="4"/>
      <c r="F8" s="4"/>
      <c r="G8" s="4"/>
      <c r="H8" s="4"/>
      <c r="I8" s="4"/>
      <c r="J8" s="4"/>
    </row>
    <row r="9" ht="27" customHeight="1" spans="1:11">
      <c r="A9" s="8" t="s">
        <v>11</v>
      </c>
      <c r="B9" s="3"/>
      <c r="C9" s="3"/>
      <c r="D9" s="3"/>
      <c r="E9" s="3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</row>
    <row r="10" ht="20" customHeight="1" spans="1:11">
      <c r="A10" s="8" t="s">
        <v>18</v>
      </c>
      <c r="B10" s="3"/>
      <c r="C10" s="3"/>
      <c r="D10" s="3"/>
      <c r="E10" s="3" t="s">
        <v>19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24</v>
      </c>
      <c r="K10" s="9" t="s">
        <v>25</v>
      </c>
    </row>
    <row r="11" ht="60" customHeight="1" spans="1:11">
      <c r="A11" s="10" t="s">
        <v>26</v>
      </c>
      <c r="B11" s="11"/>
      <c r="C11" s="11"/>
      <c r="D11" s="11"/>
      <c r="E11" s="12" t="s">
        <v>27</v>
      </c>
      <c r="F11" s="11">
        <v>1317294</v>
      </c>
      <c r="G11" s="11">
        <v>41</v>
      </c>
      <c r="H11" s="11">
        <v>122</v>
      </c>
      <c r="I11" s="11">
        <v>5002</v>
      </c>
      <c r="J11" s="12" t="str">
        <f>_xlfn.DISPIMG("ID_7CE795C54BB147329AB624CDC5471DCB",1)</f>
        <v>=DISPIMG("ID_7CE795C54BB147329AB624CDC5471DCB",1)</v>
      </c>
      <c r="K11" s="13" t="s">
        <v>28</v>
      </c>
    </row>
    <row r="12" ht="60" customHeight="1" spans="1:11">
      <c r="A12" s="10" t="s">
        <v>29</v>
      </c>
      <c r="B12" s="11"/>
      <c r="C12" s="11"/>
      <c r="D12" s="11"/>
      <c r="E12" s="12" t="s">
        <v>30</v>
      </c>
      <c r="F12" s="11">
        <v>1317315</v>
      </c>
      <c r="G12" s="11">
        <v>24.9</v>
      </c>
      <c r="H12" s="11">
        <v>43</v>
      </c>
      <c r="I12" s="11">
        <v>1070.7</v>
      </c>
      <c r="J12" s="12" t="str">
        <f>_xlfn.DISPIMG("ID_99EA01FCAC614986B2183289088E2267",1)</f>
        <v>=DISPIMG("ID_99EA01FCAC614986B2183289088E2267",1)</v>
      </c>
      <c r="K12" s="13" t="s">
        <v>31</v>
      </c>
    </row>
    <row r="13" ht="60" customHeight="1" spans="1:11">
      <c r="A13" s="10" t="s">
        <v>32</v>
      </c>
      <c r="B13" s="11"/>
      <c r="C13" s="11"/>
      <c r="D13" s="11"/>
      <c r="E13" s="12" t="s">
        <v>33</v>
      </c>
      <c r="F13" s="11">
        <v>1319439</v>
      </c>
      <c r="G13" s="11">
        <v>26</v>
      </c>
      <c r="H13" s="11">
        <v>34</v>
      </c>
      <c r="I13" s="11">
        <v>884</v>
      </c>
      <c r="J13" s="12" t="str">
        <f>_xlfn.DISPIMG("ID_FD70FC67CF84467D89A64328BA2682E0",1)</f>
        <v>=DISPIMG("ID_FD70FC67CF84467D89A64328BA2682E0",1)</v>
      </c>
      <c r="K13" s="13" t="s">
        <v>34</v>
      </c>
    </row>
    <row r="14" ht="20" customHeight="1" spans="1:11">
      <c r="A14" s="11"/>
      <c r="B14" s="11"/>
      <c r="C14" s="11"/>
      <c r="D14" s="11"/>
      <c r="E14" s="11"/>
      <c r="F14" s="11"/>
      <c r="G14" s="11"/>
      <c r="H14" s="12" t="s">
        <v>35</v>
      </c>
      <c r="I14" s="12" t="s">
        <v>36</v>
      </c>
      <c r="J14" s="11"/>
      <c r="K14" s="14"/>
    </row>
    <row r="15" ht="20" customHeight="1" spans="1:11">
      <c r="A15" s="11"/>
      <c r="B15" s="11"/>
      <c r="C15" s="11"/>
      <c r="D15" s="11"/>
      <c r="E15" s="11"/>
      <c r="F15" s="11"/>
      <c r="G15" s="11"/>
      <c r="H15" s="11">
        <v>199</v>
      </c>
      <c r="I15" s="11">
        <v>6956.7</v>
      </c>
      <c r="J15" s="11"/>
      <c r="K15" s="1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spans="1:1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0">
    <mergeCell ref="A1:J1"/>
    <mergeCell ref="A2:B2"/>
    <mergeCell ref="A3:B3"/>
    <mergeCell ref="C3:J3"/>
    <mergeCell ref="A4:B4"/>
    <mergeCell ref="C4:J4"/>
    <mergeCell ref="A5:B5"/>
    <mergeCell ref="C5:J5"/>
    <mergeCell ref="A6:B6"/>
    <mergeCell ref="C6:J6"/>
    <mergeCell ref="A7:B7"/>
    <mergeCell ref="C7:J7"/>
    <mergeCell ref="A8:B8"/>
    <mergeCell ref="A9:D9"/>
    <mergeCell ref="A10:D10"/>
    <mergeCell ref="A11:D11"/>
    <mergeCell ref="A12:D12"/>
    <mergeCell ref="A13:D13"/>
    <mergeCell ref="A14:D14"/>
    <mergeCell ref="A15:D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2026-04-23T14:09:00Z</dcterms:created>
  <dcterms:modified xsi:type="dcterms:W3CDTF">2026-04-25T02:40:22Z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3F0BAB292CDE4E6CB2C7DE463F0B7316_12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